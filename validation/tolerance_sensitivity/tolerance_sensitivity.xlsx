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08d0ae0f8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fda61180a245fa"/>
    <x:sheet xmlns:r="http://schemas.openxmlformats.org/officeDocument/2006/relationships" name="Detailed_Evidence" sheetId="2" r:id="R1309d94600904154"/>
    <x:sheet xmlns:r="http://schemas.openxmlformats.org/officeDocument/2006/relationships" name="Method" sheetId="3" r:id="Rece28f16212d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6262832274303" /><Relationship Type="http://schemas.openxmlformats.org/officeDocument/2006/relationships/theme" Target="/xl/theme/theme1.xml" Id="R77dbb8f4b98d4c88" /><Relationship Type="http://schemas.openxmlformats.org/officeDocument/2006/relationships/sharedStrings" Target="/xl/sharedStrings.xml" Id="R9e4324c4067f4b93" /><Relationship Type="http://schemas.openxmlformats.org/officeDocument/2006/relationships/worksheet" Target="/xl/worksheets/sheet1.xml" Id="R76fda61180a245fa" /><Relationship Type="http://schemas.openxmlformats.org/officeDocument/2006/relationships/worksheet" Target="/xl/worksheets/sheet2.xml" Id="R1309d94600904154" /><Relationship Type="http://schemas.openxmlformats.org/officeDocument/2006/relationships/worksheet" Target="/xl/worksheets/sheet3.xml" Id="Rece28f16212d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42" hidden="0" customWidth="1"/>
  </x:cols>
  <x:sheetData>
    <x:row r="1">
      <x:c r="A1" s="5" t="str">
        <x:v>Model</x:v>
      </x:c>
      <x:c r="B1" s="5" t="str">
        <x:v>Hardware</x:v>
      </x:c>
      <x:c r="C1" s="5" t="str">
        <x:v>Overall 1x</x:v>
      </x:c>
      <x:c r="D1" s="5" t="str">
        <x:v>Overall 10x</x:v>
      </x:c>
      <x:c r="E1" s="5" t="str">
        <x:v>Overall 100x</x:v>
      </x:c>
      <x:c r="F1" s="5" t="str">
        <x:v>Max numeric ratio / 1x</x:v>
      </x:c>
      <x:c r="G1" s="5" t="str">
        <x:v>Conclusion</x:v>
      </x:c>
    </x:row>
    <x:row r="2">
      <x:c r="A2" s="10" t="str">
        <x:v>MLP</x:v>
      </x:c>
      <x:c r="B2" s="10" t="str">
        <x:v>WEMOS LOLIN32</x:v>
      </x:c>
      <x:c r="C2" s="10" t="str">
        <x:v>PASS</x:v>
      </x:c>
      <x:c r="D2" s="10" t="str">
        <x:v>PASS</x:v>
      </x:c>
      <x:c r="E2" s="10" t="str">
        <x:v>PASS</x:v>
      </x:c>
      <x:c r="F2" s="12" t="n">
        <x:v>0.3815000006568425</x:v>
      </x:c>
      <x:c r="G2" s="10" t="str">
        <x:v>Classification unchanged across 1x/10x/100x.</x:v>
      </x:c>
    </x:row>
    <x:row r="3">
      <x:c r="A3" s="10" t="str">
        <x:v>MLP</x:v>
      </x:c>
      <x:c r="B3" s="10" t="str">
        <x:v>NUCLEO-F411RE</x:v>
      </x:c>
      <x:c r="C3" s="10" t="str">
        <x:v>PASS</x:v>
      </x:c>
      <x:c r="D3" s="10" t="str">
        <x:v>PASS</x:v>
      </x:c>
      <x:c r="E3" s="10" t="str">
        <x:v>PASS</x:v>
      </x:c>
      <x:c r="F3" s="12" t="n">
        <x:v>0.3815000006568425</x:v>
      </x:c>
      <x:c r="G3" s="10" t="str">
        <x:v>Classification unchanged across 1x/10x/100x.</x:v>
      </x:c>
    </x:row>
    <x:row r="4">
      <x:c r="A4" s="10" t="str">
        <x:v>Conv1D Tiny</x:v>
      </x:c>
      <x:c r="B4" s="10" t="str">
        <x:v>WEMOS LOLIN32</x:v>
      </x:c>
      <x:c r="C4" s="10" t="str">
        <x:v>PASS</x:v>
      </x:c>
      <x:c r="D4" s="10" t="str">
        <x:v>PASS</x:v>
      </x:c>
      <x:c r="E4" s="10" t="str">
        <x:v>PASS</x:v>
      </x:c>
      <x:c r="F4" s="12" t="n">
        <x:v>0.3815000006568425</x:v>
      </x:c>
      <x:c r="G4" s="10" t="str">
        <x:v>Classification unchanged across 1x/10x/100x.</x:v>
      </x:c>
    </x:row>
    <x:row r="5">
      <x:c r="A5" s="10" t="str">
        <x:v>Conv1D Tiny</x:v>
      </x:c>
      <x:c r="B5" s="10" t="str">
        <x:v>NUCLEO-F411RE</x:v>
      </x:c>
      <x:c r="C5" s="10" t="str">
        <x:v>PASS</x:v>
      </x:c>
      <x:c r="D5" s="10" t="str">
        <x:v>PASS</x:v>
      </x:c>
      <x:c r="E5" s="10" t="str">
        <x:v>PASS</x:v>
      </x:c>
      <x:c r="F5" s="12" t="n">
        <x:v>0.3815000006568425</x:v>
      </x:c>
      <x:c r="G5" s="10" t="str">
        <x:v>Classification unchanged across 1x/10x/100x.</x:v>
      </x:c>
    </x:row>
    <x:row r="6">
      <x:c r="A6" s="10" t="str">
        <x:v>LSTM</x:v>
      </x:c>
      <x:c r="B6" s="10" t="str">
        <x:v>WEMOS LOLIN32</x:v>
      </x:c>
      <x:c r="C6" s="10" t="str">
        <x:v>FAIL</x:v>
      </x:c>
      <x:c r="D6" s="10" t="str">
        <x:v>FAIL</x:v>
      </x:c>
      <x:c r="E6" s="10" t="str">
        <x:v>FAIL</x:v>
      </x:c>
      <x:c r="F6" s="12" t="n">
        <x:v>5635.200000000005</x:v>
      </x:c>
      <x:c r="G6" s="10" t="str">
        <x:v>Classification unchanged across 1x/10x/100x.</x:v>
      </x:c>
    </x:row>
    <x:row r="7">
      <x:c r="A7" s="10" t="str">
        <x:v>LSTM</x:v>
      </x:c>
      <x:c r="B7" s="10" t="str">
        <x:v>NUCLEO-F411RE</x:v>
      </x:c>
      <x:c r="C7" s="10" t="str">
        <x:v>FAIL</x:v>
      </x:c>
      <x:c r="D7" s="10" t="str">
        <x:v>FAIL</x:v>
      </x:c>
      <x:c r="E7" s="10" t="str">
        <x:v>FAIL</x:v>
      </x:c>
      <x:c r="F7" s="12" t="n">
        <x:v>5635.200000000005</x:v>
      </x:c>
      <x:c r="G7" s="10" t="str">
        <x:v>Classification unchanged across 1x/10x/100x.</x:v>
      </x:c>
    </x:row>
  </x:sheetData>
  <x:conditionalFormatting sqref="C2:E7">
    <x:cfRule type="expression" dxfId="0" priority="1">
      <x:formula>C2="PASS"</x:formula>
    </x:cfRule>
    <x:cfRule type="expression" dxfId="1" priority="2">
      <x:formula>C2="FAIL"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4" hidden="0" customWidth="1"/>
    <x:col min="4" max="4" width="15" hidden="0" customWidth="1"/>
    <x:col min="5" max="5" width="24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62" hidden="0" customWidth="1"/>
    <x:col min="15" max="15" width="48" hidden="0" customWidth="1"/>
  </x:cols>
  <x:sheetData>
    <x:row r="1">
      <x:c r="A1" s="16" t="str">
        <x:v>Model</x:v>
      </x:c>
      <x:c r="B1" s="16" t="str">
        <x:v>Hardware</x:v>
      </x:c>
      <x:c r="C1" s="16" t="str">
        <x:v>Stage key</x:v>
      </x:c>
      <x:c r="D1" s="16" t="str">
        <x:v>Comparison type</x:v>
      </x:c>
      <x:c r="E1" s="16" t="str">
        <x:v>Observed max abs. difference</x:v>
      </x:c>
      <x:c r="F1" s="16" t="str">
        <x:v>Rows above 1x</x:v>
      </x:c>
      <x:c r="G1" s="16" t="str">
        <x:v>Base threshold</x:v>
      </x:c>
      <x:c r="H1" s="16" t="str">
        <x:v>Threshold 1x</x:v>
      </x:c>
      <x:c r="I1" s="16" t="str">
        <x:v>Status 1x</x:v>
      </x:c>
      <x:c r="J1" s="16" t="str">
        <x:v>Threshold 10x</x:v>
      </x:c>
      <x:c r="K1" s="16" t="str">
        <x:v>Status 10x</x:v>
      </x:c>
      <x:c r="L1" s="16" t="str">
        <x:v>Threshold 100x</x:v>
      </x:c>
      <x:c r="M1" s="16" t="str">
        <x:v>Status 100x</x:v>
      </x:c>
      <x:c r="N1" s="16" t="str">
        <x:v>Source workbook</x:v>
      </x:c>
      <x:c r="O1" s="16" t="str">
        <x:v>Interpretation</x:v>
      </x:c>
    </x:row>
    <x:row r="2">
      <x:c r="A2" s="10" t="str">
        <x:v>MLP</x:v>
      </x:c>
      <x:c r="B2" s="10" t="str">
        <x:v>WEMOS LOLIN32</x:v>
      </x:c>
      <x:c r="C2" s="10" t="str">
        <x:v>raw_tensor_bytes_and_metadata</x:v>
      </x:c>
      <x:c r="D2" s="10" t="str">
        <x:v>EXACT</x:v>
      </x:c>
      <x:c r="E2" s="20" t="str">
        <x:v>N/A</x:v>
      </x:c>
      <x:c r="F2" s="10" t="n">
        <x:v>0</x:v>
      </x:c>
      <x:c r="G2" s="20" t="n">
        <x:v>0</x:v>
      </x:c>
      <x:c r="H2" s="20" t="n">
        <x:f>G2</x:f>
        <x:v>0</x:v>
      </x:c>
      <x:c r="I2" s="10" t="str">
        <x:f>IF(D2="EXACT",IF(F2=0,"PASS","FAIL"),IF(E2&lt;=H2,"PASS","FAIL"))</x:f>
        <x:v>PASS</x:v>
      </x:c>
      <x:c r="J2" s="20" t="n">
        <x:f>IF(D2="EXACT",0,G2*10)</x:f>
        <x:v>0</x:v>
      </x:c>
      <x:c r="K2" s="10" t="str">
        <x:f>IF(D2="EXACT",I2,IF(E2&lt;=J2,"PASS","FAIL"))</x:f>
        <x:v>PASS</x:v>
      </x:c>
      <x:c r="L2" s="20" t="n">
        <x:f>IF(D2="EXACT",0,G2*100)</x:f>
        <x:v>0</x:v>
      </x:c>
      <x:c r="M2" s="10" t="str">
        <x:f>IF(D2="EXACT",I2,IF(E2&lt;=L2,"PASS","FAIL"))</x:f>
        <x:v>PASS</x:v>
      </x:c>
      <x:c r="N2" s="10" t="str">
        <x:v>utils/workbook_mlp/esp32/replay/model_io_comparison_mlp_esp32_replay.xlsx</x:v>
      </x:c>
      <x:c r="O2" s="10" t="str">
        <x:v>No exact byte/metadata mismatches were observed; the exact-match result remains PASS at all factors.</x:v>
      </x:c>
    </x:row>
    <x:row r="3">
      <x:c r="A3" s="10" t="str">
        <x:v>MLP</x:v>
      </x:c>
      <x:c r="B3" s="10" t="str">
        <x:v>WEMOS LOLIN32</x:v>
      </x:c>
      <x:c r="C3" s="10" t="str">
        <x:v>model_input_numeric</x:v>
      </x:c>
      <x:c r="D3" s="10" t="str">
        <x:v>NUMERIC</x:v>
      </x:c>
      <x:c r="E3" s="20" t="n">
        <x:v>0</x:v>
      </x:c>
      <x:c r="F3" s="10" t="n">
        <x:v>0</x:v>
      </x:c>
      <x:c r="G3" s="20" t="n">
        <x:v>0.000002</x:v>
      </x:c>
      <x:c r="H3" s="20" t="n">
        <x:f>G3</x:f>
        <x:v>0.000002</x:v>
      </x:c>
      <x:c r="I3" s="10" t="str">
        <x:f>IF(D3="EXACT",IF(F3=0,"PASS","FAIL"),IF(E3&lt;=H3,"PASS","FAIL"))</x:f>
        <x:v>PASS</x:v>
      </x:c>
      <x:c r="J3" s="20" t="n">
        <x:f>IF(D3="EXACT",0,G3*10)</x:f>
        <x:v>0.000019999999999999998</x:v>
      </x:c>
      <x:c r="K3" s="10" t="str">
        <x:f>IF(D3="EXACT",I3,IF(E3&lt;=J3,"PASS","FAIL"))</x:f>
        <x:v>PASS</x:v>
      </x:c>
      <x:c r="L3" s="20" t="n">
        <x:f>IF(D3="EXACT",0,G3*100)</x:f>
        <x:v>0.00019999999999999998</x:v>
      </x:c>
      <x:c r="M3" s="10" t="str">
        <x:f>IF(D3="EXACT",I3,IF(E3&lt;=L3,"PASS","FAIL"))</x:f>
        <x:v>PASS</x:v>
      </x:c>
      <x:c r="N3" s="10" t="str">
        <x:v>utils/workbook_mlp/esp32/replay/model_io_comparison_mlp_esp32_replay.xlsx</x:v>
      </x:c>
      <x:c r="O3" s="10" t="str">
        <x:v>PASS when observed maximum is less than or equal to the scaled threshold.</x:v>
      </x:c>
    </x:row>
    <x:row r="4">
      <x:c r="A4" s="10" t="str">
        <x:v>MLP</x:v>
      </x:c>
      <x:c r="B4" s="10" t="str">
        <x:v>WEMOS LOLIN32</x:v>
      </x:c>
      <x:c r="C4" s="10" t="str">
        <x:v>decoded_raw_output</x:v>
      </x:c>
      <x:c r="D4" s="10" t="str">
        <x:v>NUMERIC</x:v>
      </x:c>
      <x:c r="E4" s="20" t="n">
        <x:v>0</x:v>
      </x:c>
      <x:c r="F4" s="10" t="n">
        <x:v>0</x:v>
      </x:c>
      <x:c r="G4" s="20" t="n">
        <x:v>0.000002</x:v>
      </x:c>
      <x:c r="H4" s="20" t="n">
        <x:f>G4</x:f>
        <x:v>0.000002</x:v>
      </x:c>
      <x:c r="I4" s="10" t="str">
        <x:f>IF(D4="EXACT",IF(F4=0,"PASS","FAIL"),IF(E4&lt;=H4,"PASS","FAIL"))</x:f>
        <x:v>PASS</x:v>
      </x:c>
      <x:c r="J4" s="20" t="n">
        <x:f>IF(D4="EXACT",0,G4*10)</x:f>
        <x:v>0.000019999999999999998</x:v>
      </x:c>
      <x:c r="K4" s="10" t="str">
        <x:f>IF(D4="EXACT",I4,IF(E4&lt;=J4,"PASS","FAIL"))</x:f>
        <x:v>PASS</x:v>
      </x:c>
      <x:c r="L4" s="20" t="n">
        <x:f>IF(D4="EXACT",0,G4*100)</x:f>
        <x:v>0.00019999999999999998</x:v>
      </x:c>
      <x:c r="M4" s="10" t="str">
        <x:f>IF(D4="EXACT",I4,IF(E4&lt;=L4,"PASS","FAIL"))</x:f>
        <x:v>PASS</x:v>
      </x:c>
      <x:c r="N4" s="10" t="str">
        <x:v>utils/workbook_mlp/esp32/replay/model_io_comparison_mlp_esp32_replay.xlsx</x:v>
      </x:c>
      <x:c r="O4" s="10" t="str">
        <x:v>PASS when observed maximum is less than or equal to the scaled threshold.</x:v>
      </x:c>
    </x:row>
    <x:row r="5">
      <x:c r="A5" s="10" t="str">
        <x:v>MLP</x:v>
      </x:c>
      <x:c r="B5" s="10" t="str">
        <x:v>WEMOS LOLIN32</x:v>
      </x:c>
      <x:c r="C5" s="10" t="str">
        <x:v>semantic_output</x:v>
      </x:c>
      <x:c r="D5" s="10" t="str">
        <x:v>NUMERIC</x:v>
      </x:c>
      <x:c r="E5" s="20" t="n">
        <x:v>0</x:v>
      </x:c>
      <x:c r="F5" s="10" t="n">
        <x:v>0</x:v>
      </x:c>
      <x:c r="G5" s="20" t="n">
        <x:v>0.000002</x:v>
      </x:c>
      <x:c r="H5" s="20" t="n">
        <x:f>G5</x:f>
        <x:v>0.000002</x:v>
      </x:c>
      <x:c r="I5" s="10" t="str">
        <x:f>IF(D5="EXACT",IF(F5=0,"PASS","FAIL"),IF(E5&lt;=H5,"PASS","FAIL"))</x:f>
        <x:v>PASS</x:v>
      </x:c>
      <x:c r="J5" s="20" t="n">
        <x:f>IF(D5="EXACT",0,G5*10)</x:f>
        <x:v>0.000019999999999999998</x:v>
      </x:c>
      <x:c r="K5" s="10" t="str">
        <x:f>IF(D5="EXACT",I5,IF(E5&lt;=J5,"PASS","FAIL"))</x:f>
        <x:v>PASS</x:v>
      </x:c>
      <x:c r="L5" s="20" t="n">
        <x:f>IF(D5="EXACT",0,G5*100)</x:f>
        <x:v>0.00019999999999999998</x:v>
      </x:c>
      <x:c r="M5" s="10" t="str">
        <x:f>IF(D5="EXACT",I5,IF(E5&lt;=L5,"PASS","FAIL"))</x:f>
        <x:v>PASS</x:v>
      </x:c>
      <x:c r="N5" s="10" t="str">
        <x:v>utils/workbook_mlp/esp32/replay/model_io_comparison_mlp_esp32_replay.xlsx</x:v>
      </x:c>
      <x:c r="O5" s="10" t="str">
        <x:v>PASS when observed maximum is less than or equal to the scaled threshold.</x:v>
      </x:c>
    </x:row>
    <x:row r="6">
      <x:c r="A6" s="10" t="str">
        <x:v>MLP</x:v>
      </x:c>
      <x:c r="B6" s="10" t="str">
        <x:v>WEMOS LOLIN32</x:v>
      </x:c>
      <x:c r="C6" s="10" t="str">
        <x:v>final_postprocessed_prediction</x:v>
      </x:c>
      <x:c r="D6" s="10" t="str">
        <x:v>NUMERIC</x:v>
      </x:c>
      <x:c r="E6" s="20" t="n">
        <x:v>0.00000763000001313685</x:v>
      </x:c>
      <x:c r="F6" s="10" t="n">
        <x:v>0</x:v>
      </x:c>
      <x:c r="G6" s="20" t="n">
        <x:v>0.00002</x:v>
      </x:c>
      <x:c r="H6" s="20" t="n">
        <x:f>G6</x:f>
        <x:v>0.00002</x:v>
      </x:c>
      <x:c r="I6" s="10" t="str">
        <x:f>IF(D6="EXACT",IF(F6=0,"PASS","FAIL"),IF(E6&lt;=H6,"PASS","FAIL"))</x:f>
        <x:v>PASS</x:v>
      </x:c>
      <x:c r="J6" s="20" t="n">
        <x:f>IF(D6="EXACT",0,G6*10)</x:f>
        <x:v>0.0002</x:v>
      </x:c>
      <x:c r="K6" s="10" t="str">
        <x:f>IF(D6="EXACT",I6,IF(E6&lt;=J6,"PASS","FAIL"))</x:f>
        <x:v>PASS</x:v>
      </x:c>
      <x:c r="L6" s="20" t="n">
        <x:f>IF(D6="EXACT",0,G6*100)</x:f>
        <x:v>0.002</x:v>
      </x:c>
      <x:c r="M6" s="10" t="str">
        <x:f>IF(D6="EXACT",I6,IF(E6&lt;=L6,"PASS","FAIL"))</x:f>
        <x:v>PASS</x:v>
      </x:c>
      <x:c r="N6" s="10" t="str">
        <x:v>utils/workbook_mlp/esp32/replay/model_io_comparison_mlp_esp32_replay.xlsx</x:v>
      </x:c>
      <x:c r="O6" s="10" t="str">
        <x:v>PASS when observed maximum is less than or equal to the scaled threshold.</x:v>
      </x:c>
    </x:row>
    <x:row r="7">
      <x:c r="A7" s="10" t="str">
        <x:v>MLP</x:v>
      </x:c>
      <x:c r="B7" s="10" t="str">
        <x:v>WEMOS LOLIN32</x:v>
      </x:c>
      <x:c r="C7" s="10" t="str">
        <x:v>auxiliary_semantic_debug</x:v>
      </x:c>
      <x:c r="D7" s="10" t="str">
        <x:v>NUMERIC</x:v>
      </x:c>
      <x:c r="E7" s="20" t="n">
        <x:v>0.00000763000001313685</x:v>
      </x:c>
      <x:c r="F7" s="10" t="n">
        <x:v>0</x:v>
      </x:c>
      <x:c r="G7" s="20" t="n">
        <x:v>0.00002</x:v>
      </x:c>
      <x:c r="H7" s="20" t="n">
        <x:f>G7</x:f>
        <x:v>0.00002</x:v>
      </x:c>
      <x:c r="I7" s="10" t="str">
        <x:f>IF(D7="EXACT",IF(F7=0,"PASS","FAIL"),IF(E7&lt;=H7,"PASS","FAIL"))</x:f>
        <x:v>PASS</x:v>
      </x:c>
      <x:c r="J7" s="20" t="n">
        <x:f>IF(D7="EXACT",0,G7*10)</x:f>
        <x:v>0.0002</x:v>
      </x:c>
      <x:c r="K7" s="10" t="str">
        <x:f>IF(D7="EXACT",I7,IF(E7&lt;=J7,"PASS","FAIL"))</x:f>
        <x:v>PASS</x:v>
      </x:c>
      <x:c r="L7" s="20" t="n">
        <x:f>IF(D7="EXACT",0,G7*100)</x:f>
        <x:v>0.002</x:v>
      </x:c>
      <x:c r="M7" s="10" t="str">
        <x:f>IF(D7="EXACT",I7,IF(E7&lt;=L7,"PASS","FAIL"))</x:f>
        <x:v>PASS</x:v>
      </x:c>
      <x:c r="N7" s="10" t="str">
        <x:v>utils/workbook_mlp/esp32/replay/model_io_comparison_mlp_esp32_replay.xlsx</x:v>
      </x:c>
      <x:c r="O7" s="10" t="str">
        <x:v>PASS when observed maximum is less than or equal to the scaled threshold.</x:v>
      </x:c>
    </x:row>
    <x:row r="8">
      <x:c r="A8" s="10" t="str">
        <x:v>MLP</x:v>
      </x:c>
      <x:c r="B8" s="10" t="str">
        <x:v>NUCLEO-F411RE</x:v>
      </x:c>
      <x:c r="C8" s="10" t="str">
        <x:v>raw_tensor_bytes_and_metadata</x:v>
      </x:c>
      <x:c r="D8" s="10" t="str">
        <x:v>EXACT</x:v>
      </x:c>
      <x:c r="E8" s="20" t="str">
        <x:v>N/A</x:v>
      </x:c>
      <x:c r="F8" s="10" t="n">
        <x:v>0</x:v>
      </x:c>
      <x:c r="G8" s="20" t="n">
        <x:v>0</x:v>
      </x:c>
      <x:c r="H8" s="20" t="n">
        <x:f>G8</x:f>
        <x:v>0</x:v>
      </x:c>
      <x:c r="I8" s="10" t="str">
        <x:f>IF(D8="EXACT",IF(F8=0,"PASS","FAIL"),IF(E8&lt;=H8,"PASS","FAIL"))</x:f>
        <x:v>PASS</x:v>
      </x:c>
      <x:c r="J8" s="20" t="n">
        <x:f>IF(D8="EXACT",0,G8*10)</x:f>
        <x:v>0</x:v>
      </x:c>
      <x:c r="K8" s="10" t="str">
        <x:f>IF(D8="EXACT",I8,IF(E8&lt;=J8,"PASS","FAIL"))</x:f>
        <x:v>PASS</x:v>
      </x:c>
      <x:c r="L8" s="20" t="n">
        <x:f>IF(D8="EXACT",0,G8*100)</x:f>
        <x:v>0</x:v>
      </x:c>
      <x:c r="M8" s="10" t="str">
        <x:f>IF(D8="EXACT",I8,IF(E8&lt;=L8,"PASS","FAIL"))</x:f>
        <x:v>PASS</x:v>
      </x:c>
      <x:c r="N8" s="10" t="str">
        <x:v>utils/workbook_mlp/stm32f411re/replay/model_io_comparison_mlp_stm32f411re_replay.xlsx</x:v>
      </x:c>
      <x:c r="O8" s="10" t="str">
        <x:v>No exact byte/metadata mismatches were observed; the exact-match result remains PASS at all factors.</x:v>
      </x:c>
    </x:row>
    <x:row r="9">
      <x:c r="A9" s="10" t="str">
        <x:v>MLP</x:v>
      </x:c>
      <x:c r="B9" s="10" t="str">
        <x:v>NUCLEO-F411RE</x:v>
      </x:c>
      <x:c r="C9" s="10" t="str">
        <x:v>model_input_numeric</x:v>
      </x:c>
      <x:c r="D9" s="10" t="str">
        <x:v>NUMERIC</x:v>
      </x:c>
      <x:c r="E9" s="20" t="n">
        <x:v>0</x:v>
      </x:c>
      <x:c r="F9" s="10" t="n">
        <x:v>0</x:v>
      </x:c>
      <x:c r="G9" s="20" t="n">
        <x:v>0.000002</x:v>
      </x:c>
      <x:c r="H9" s="20" t="n">
        <x:f>G9</x:f>
        <x:v>0.000002</x:v>
      </x:c>
      <x:c r="I9" s="10" t="str">
        <x:f>IF(D9="EXACT",IF(F9=0,"PASS","FAIL"),IF(E9&lt;=H9,"PASS","FAIL"))</x:f>
        <x:v>PASS</x:v>
      </x:c>
      <x:c r="J9" s="20" t="n">
        <x:f>IF(D9="EXACT",0,G9*10)</x:f>
        <x:v>0.000019999999999999998</x:v>
      </x:c>
      <x:c r="K9" s="10" t="str">
        <x:f>IF(D9="EXACT",I9,IF(E9&lt;=J9,"PASS","FAIL"))</x:f>
        <x:v>PASS</x:v>
      </x:c>
      <x:c r="L9" s="20" t="n">
        <x:f>IF(D9="EXACT",0,G9*100)</x:f>
        <x:v>0.00019999999999999998</x:v>
      </x:c>
      <x:c r="M9" s="10" t="str">
        <x:f>IF(D9="EXACT",I9,IF(E9&lt;=L9,"PASS","FAIL"))</x:f>
        <x:v>PASS</x:v>
      </x:c>
      <x:c r="N9" s="10" t="str">
        <x:v>utils/workbook_mlp/stm32f411re/replay/model_io_comparison_mlp_stm32f411re_replay.xlsx</x:v>
      </x:c>
      <x:c r="O9" s="10" t="str">
        <x:v>PASS when observed maximum is less than or equal to the scaled threshold.</x:v>
      </x:c>
    </x:row>
    <x:row r="10">
      <x:c r="A10" s="10" t="str">
        <x:v>MLP</x:v>
      </x:c>
      <x:c r="B10" s="10" t="str">
        <x:v>NUCLEO-F411RE</x:v>
      </x:c>
      <x:c r="C10" s="10" t="str">
        <x:v>decoded_raw_output</x:v>
      </x:c>
      <x:c r="D10" s="10" t="str">
        <x:v>NUMERIC</x:v>
      </x:c>
      <x:c r="E10" s="20" t="n">
        <x:v>0</x:v>
      </x:c>
      <x:c r="F10" s="10" t="n">
        <x:v>0</x:v>
      </x:c>
      <x:c r="G10" s="20" t="n">
        <x:v>0.000002</x:v>
      </x:c>
      <x:c r="H10" s="20" t="n">
        <x:f>G10</x:f>
        <x:v>0.000002</x:v>
      </x:c>
      <x:c r="I10" s="10" t="str">
        <x:f>IF(D10="EXACT",IF(F10=0,"PASS","FAIL"),IF(E10&lt;=H10,"PASS","FAIL"))</x:f>
        <x:v>PASS</x:v>
      </x:c>
      <x:c r="J10" s="20" t="n">
        <x:f>IF(D10="EXACT",0,G10*10)</x:f>
        <x:v>0.000019999999999999998</x:v>
      </x:c>
      <x:c r="K10" s="10" t="str">
        <x:f>IF(D10="EXACT",I10,IF(E10&lt;=J10,"PASS","FAIL"))</x:f>
        <x:v>PASS</x:v>
      </x:c>
      <x:c r="L10" s="20" t="n">
        <x:f>IF(D10="EXACT",0,G10*100)</x:f>
        <x:v>0.00019999999999999998</x:v>
      </x:c>
      <x:c r="M10" s="10" t="str">
        <x:f>IF(D10="EXACT",I10,IF(E10&lt;=L10,"PASS","FAIL"))</x:f>
        <x:v>PASS</x:v>
      </x:c>
      <x:c r="N10" s="10" t="str">
        <x:v>utils/workbook_mlp/stm32f411re/replay/model_io_comparison_mlp_stm32f411re_replay.xlsx</x:v>
      </x:c>
      <x:c r="O10" s="10" t="str">
        <x:v>PASS when observed maximum is less than or equal to the scaled threshold.</x:v>
      </x:c>
    </x:row>
    <x:row r="11">
      <x:c r="A11" s="10" t="str">
        <x:v>MLP</x:v>
      </x:c>
      <x:c r="B11" s="10" t="str">
        <x:v>NUCLEO-F411RE</x:v>
      </x:c>
      <x:c r="C11" s="10" t="str">
        <x:v>semantic_output</x:v>
      </x:c>
      <x:c r="D11" s="10" t="str">
        <x:v>NUMERIC</x:v>
      </x:c>
      <x:c r="E11" s="20" t="n">
        <x:v>0</x:v>
      </x:c>
      <x:c r="F11" s="10" t="n">
        <x:v>0</x:v>
      </x:c>
      <x:c r="G11" s="20" t="n">
        <x:v>0.000002</x:v>
      </x:c>
      <x:c r="H11" s="20" t="n">
        <x:f>G11</x:f>
        <x:v>0.000002</x:v>
      </x:c>
      <x:c r="I11" s="10" t="str">
        <x:f>IF(D11="EXACT",IF(F11=0,"PASS","FAIL"),IF(E11&lt;=H11,"PASS","FAIL"))</x:f>
        <x:v>PASS</x:v>
      </x:c>
      <x:c r="J11" s="20" t="n">
        <x:f>IF(D11="EXACT",0,G11*10)</x:f>
        <x:v>0.000019999999999999998</x:v>
      </x:c>
      <x:c r="K11" s="10" t="str">
        <x:f>IF(D11="EXACT",I11,IF(E11&lt;=J11,"PASS","FAIL"))</x:f>
        <x:v>PASS</x:v>
      </x:c>
      <x:c r="L11" s="20" t="n">
        <x:f>IF(D11="EXACT",0,G11*100)</x:f>
        <x:v>0.00019999999999999998</x:v>
      </x:c>
      <x:c r="M11" s="10" t="str">
        <x:f>IF(D11="EXACT",I11,IF(E11&lt;=L11,"PASS","FAIL"))</x:f>
        <x:v>PASS</x:v>
      </x:c>
      <x:c r="N11" s="10" t="str">
        <x:v>utils/workbook_mlp/stm32f411re/replay/model_io_comparison_mlp_stm32f411re_replay.xlsx</x:v>
      </x:c>
      <x:c r="O11" s="10" t="str">
        <x:v>PASS when observed maximum is less than or equal to the scaled threshold.</x:v>
      </x:c>
    </x:row>
    <x:row r="12">
      <x:c r="A12" s="10" t="str">
        <x:v>MLP</x:v>
      </x:c>
      <x:c r="B12" s="10" t="str">
        <x:v>NUCLEO-F411RE</x:v>
      </x:c>
      <x:c r="C12" s="10" t="str">
        <x:v>final_postprocessed_prediction</x:v>
      </x:c>
      <x:c r="D12" s="10" t="str">
        <x:v>NUMERIC</x:v>
      </x:c>
      <x:c r="E12" s="20" t="n">
        <x:v>0.00000763000001313685</x:v>
      </x:c>
      <x:c r="F12" s="10" t="n">
        <x:v>0</x:v>
      </x:c>
      <x:c r="G12" s="20" t="n">
        <x:v>0.00002</x:v>
      </x:c>
      <x:c r="H12" s="20" t="n">
        <x:f>G12</x:f>
        <x:v>0.00002</x:v>
      </x:c>
      <x:c r="I12" s="10" t="str">
        <x:f>IF(D12="EXACT",IF(F12=0,"PASS","FAIL"),IF(E12&lt;=H12,"PASS","FAIL"))</x:f>
        <x:v>PASS</x:v>
      </x:c>
      <x:c r="J12" s="20" t="n">
        <x:f>IF(D12="EXACT",0,G12*10)</x:f>
        <x:v>0.0002</x:v>
      </x:c>
      <x:c r="K12" s="10" t="str">
        <x:f>IF(D12="EXACT",I12,IF(E12&lt;=J12,"PASS","FAIL"))</x:f>
        <x:v>PASS</x:v>
      </x:c>
      <x:c r="L12" s="20" t="n">
        <x:f>IF(D12="EXACT",0,G12*100)</x:f>
        <x:v>0.002</x:v>
      </x:c>
      <x:c r="M12" s="10" t="str">
        <x:f>IF(D12="EXACT",I12,IF(E12&lt;=L12,"PASS","FAIL"))</x:f>
        <x:v>PASS</x:v>
      </x:c>
      <x:c r="N12" s="10" t="str">
        <x:v>utils/workbook_mlp/stm32f411re/replay/model_io_comparison_mlp_stm32f411re_replay.xlsx</x:v>
      </x:c>
      <x:c r="O12" s="10" t="str">
        <x:v>PASS when observed maximum is less than or equal to the scaled threshold.</x:v>
      </x:c>
    </x:row>
    <x:row r="13">
      <x:c r="A13" s="10" t="str">
        <x:v>MLP</x:v>
      </x:c>
      <x:c r="B13" s="10" t="str">
        <x:v>NUCLEO-F411RE</x:v>
      </x:c>
      <x:c r="C13" s="10" t="str">
        <x:v>auxiliary_semantic_debug</x:v>
      </x:c>
      <x:c r="D13" s="10" t="str">
        <x:v>NUMERIC</x:v>
      </x:c>
      <x:c r="E13" s="20" t="n">
        <x:v>0.00000763000001313685</x:v>
      </x:c>
      <x:c r="F13" s="10" t="n">
        <x:v>0</x:v>
      </x:c>
      <x:c r="G13" s="20" t="n">
        <x:v>0.00002</x:v>
      </x:c>
      <x:c r="H13" s="20" t="n">
        <x:f>G13</x:f>
        <x:v>0.00002</x:v>
      </x:c>
      <x:c r="I13" s="10" t="str">
        <x:f>IF(D13="EXACT",IF(F13=0,"PASS","FAIL"),IF(E13&lt;=H13,"PASS","FAIL"))</x:f>
        <x:v>PASS</x:v>
      </x:c>
      <x:c r="J13" s="20" t="n">
        <x:f>IF(D13="EXACT",0,G13*10)</x:f>
        <x:v>0.0002</x:v>
      </x:c>
      <x:c r="K13" s="10" t="str">
        <x:f>IF(D13="EXACT",I13,IF(E13&lt;=J13,"PASS","FAIL"))</x:f>
        <x:v>PASS</x:v>
      </x:c>
      <x:c r="L13" s="20" t="n">
        <x:f>IF(D13="EXACT",0,G13*100)</x:f>
        <x:v>0.002</x:v>
      </x:c>
      <x:c r="M13" s="10" t="str">
        <x:f>IF(D13="EXACT",I13,IF(E13&lt;=L13,"PASS","FAIL"))</x:f>
        <x:v>PASS</x:v>
      </x:c>
      <x:c r="N13" s="10" t="str">
        <x:v>utils/workbook_mlp/stm32f411re/replay/model_io_comparison_mlp_stm32f411re_replay.xlsx</x:v>
      </x:c>
      <x:c r="O13" s="10" t="str">
        <x:v>PASS when observed maximum is less than or equal to the scaled threshold.</x:v>
      </x:c>
    </x:row>
    <x:row r="14">
      <x:c r="A14" s="10" t="str">
        <x:v>Conv1D Tiny</x:v>
      </x:c>
      <x:c r="B14" s="10" t="str">
        <x:v>WEMOS LOLIN32</x:v>
      </x:c>
      <x:c r="C14" s="10" t="str">
        <x:v>raw_tensor_bytes_and_metadata</x:v>
      </x:c>
      <x:c r="D14" s="10" t="str">
        <x:v>EXACT</x:v>
      </x:c>
      <x:c r="E14" s="20" t="str">
        <x:v>N/A</x:v>
      </x:c>
      <x:c r="F14" s="10" t="n">
        <x:v>0</x:v>
      </x:c>
      <x:c r="G14" s="20" t="n">
        <x:v>0</x:v>
      </x:c>
      <x:c r="H14" s="20" t="n">
        <x:f>G14</x:f>
        <x:v>0</x:v>
      </x:c>
      <x:c r="I14" s="10" t="str">
        <x:f>IF(D14="EXACT",IF(F14=0,"PASS","FAIL"),IF(E14&lt;=H14,"PASS","FAIL"))</x:f>
        <x:v>PASS</x:v>
      </x:c>
      <x:c r="J14" s="20" t="n">
        <x:f>IF(D14="EXACT",0,G14*10)</x:f>
        <x:v>0</x:v>
      </x:c>
      <x:c r="K14" s="10" t="str">
        <x:f>IF(D14="EXACT",I14,IF(E14&lt;=J14,"PASS","FAIL"))</x:f>
        <x:v>PASS</x:v>
      </x:c>
      <x:c r="L14" s="20" t="n">
        <x:f>IF(D14="EXACT",0,G14*100)</x:f>
        <x:v>0</x:v>
      </x:c>
      <x:c r="M14" s="10" t="str">
        <x:f>IF(D14="EXACT",I14,IF(E14&lt;=L14,"PASS","FAIL"))</x:f>
        <x:v>PASS</x:v>
      </x:c>
      <x:c r="N14" s="10" t="str">
        <x:v>utils/workbook_Conv1D_Tiny/esp32/replay/model_io_comparison_Conv1D_Tiny_esp32_replay.xlsx</x:v>
      </x:c>
      <x:c r="O14" s="10" t="str">
        <x:v>No exact byte/metadata mismatches were observed; the exact-match result remains PASS at all factors.</x:v>
      </x:c>
    </x:row>
    <x:row r="15">
      <x:c r="A15" s="10" t="str">
        <x:v>Conv1D Tiny</x:v>
      </x:c>
      <x:c r="B15" s="10" t="str">
        <x:v>WEMOS LOLIN32</x:v>
      </x:c>
      <x:c r="C15" s="10" t="str">
        <x:v>model_input_numeric</x:v>
      </x:c>
      <x:c r="D15" s="10" t="str">
        <x:v>NUMERIC</x:v>
      </x:c>
      <x:c r="E15" s="20" t="n">
        <x:v>0</x:v>
      </x:c>
      <x:c r="F15" s="10" t="n">
        <x:v>0</x:v>
      </x:c>
      <x:c r="G15" s="20" t="n">
        <x:v>0.000002</x:v>
      </x:c>
      <x:c r="H15" s="20" t="n">
        <x:f>G15</x:f>
        <x:v>0.000002</x:v>
      </x:c>
      <x:c r="I15" s="10" t="str">
        <x:f>IF(D15="EXACT",IF(F15=0,"PASS","FAIL"),IF(E15&lt;=H15,"PASS","FAIL"))</x:f>
        <x:v>PASS</x:v>
      </x:c>
      <x:c r="J15" s="20" t="n">
        <x:f>IF(D15="EXACT",0,G15*10)</x:f>
        <x:v>0.000019999999999999998</x:v>
      </x:c>
      <x:c r="K15" s="10" t="str">
        <x:f>IF(D15="EXACT",I15,IF(E15&lt;=J15,"PASS","FAIL"))</x:f>
        <x:v>PASS</x:v>
      </x:c>
      <x:c r="L15" s="20" t="n">
        <x:f>IF(D15="EXACT",0,G15*100)</x:f>
        <x:v>0.00019999999999999998</x:v>
      </x:c>
      <x:c r="M15" s="10" t="str">
        <x:f>IF(D15="EXACT",I15,IF(E15&lt;=L15,"PASS","FAIL"))</x:f>
        <x:v>PASS</x:v>
      </x:c>
      <x:c r="N15" s="10" t="str">
        <x:v>utils/workbook_Conv1D_Tiny/esp32/replay/model_io_comparison_Conv1D_Tiny_esp32_replay.xlsx</x:v>
      </x:c>
      <x:c r="O15" s="10" t="str">
        <x:v>PASS when observed maximum is less than or equal to the scaled threshold.</x:v>
      </x:c>
    </x:row>
    <x:row r="16">
      <x:c r="A16" s="10" t="str">
        <x:v>Conv1D Tiny</x:v>
      </x:c>
      <x:c r="B16" s="10" t="str">
        <x:v>WEMOS LOLIN32</x:v>
      </x:c>
      <x:c r="C16" s="10" t="str">
        <x:v>decoded_raw_output</x:v>
      </x:c>
      <x:c r="D16" s="10" t="str">
        <x:v>NUMERIC</x:v>
      </x:c>
      <x:c r="E16" s="20" t="n">
        <x:v>0</x:v>
      </x:c>
      <x:c r="F16" s="10" t="n">
        <x:v>0</x:v>
      </x:c>
      <x:c r="G16" s="20" t="n">
        <x:v>0.000002</x:v>
      </x:c>
      <x:c r="H16" s="20" t="n">
        <x:f>G16</x:f>
        <x:v>0.000002</x:v>
      </x:c>
      <x:c r="I16" s="10" t="str">
        <x:f>IF(D16="EXACT",IF(F16=0,"PASS","FAIL"),IF(E16&lt;=H16,"PASS","FAIL"))</x:f>
        <x:v>PASS</x:v>
      </x:c>
      <x:c r="J16" s="20" t="n">
        <x:f>IF(D16="EXACT",0,G16*10)</x:f>
        <x:v>0.000019999999999999998</x:v>
      </x:c>
      <x:c r="K16" s="10" t="str">
        <x:f>IF(D16="EXACT",I16,IF(E16&lt;=J16,"PASS","FAIL"))</x:f>
        <x:v>PASS</x:v>
      </x:c>
      <x:c r="L16" s="20" t="n">
        <x:f>IF(D16="EXACT",0,G16*100)</x:f>
        <x:v>0.00019999999999999998</x:v>
      </x:c>
      <x:c r="M16" s="10" t="str">
        <x:f>IF(D16="EXACT",I16,IF(E16&lt;=L16,"PASS","FAIL"))</x:f>
        <x:v>PASS</x:v>
      </x:c>
      <x:c r="N16" s="10" t="str">
        <x:v>utils/workbook_Conv1D_Tiny/esp32/replay/model_io_comparison_Conv1D_Tiny_esp32_replay.xlsx</x:v>
      </x:c>
      <x:c r="O16" s="10" t="str">
        <x:v>PASS when observed maximum is less than or equal to the scaled threshold.</x:v>
      </x:c>
    </x:row>
    <x:row r="17">
      <x:c r="A17" s="10" t="str">
        <x:v>Conv1D Tiny</x:v>
      </x:c>
      <x:c r="B17" s="10" t="str">
        <x:v>WEMOS LOLIN32</x:v>
      </x:c>
      <x:c r="C17" s="10" t="str">
        <x:v>semantic_output</x:v>
      </x:c>
      <x:c r="D17" s="10" t="str">
        <x:v>NUMERIC</x:v>
      </x:c>
      <x:c r="E17" s="20" t="n">
        <x:v>0</x:v>
      </x:c>
      <x:c r="F17" s="10" t="n">
        <x:v>0</x:v>
      </x:c>
      <x:c r="G17" s="20" t="n">
        <x:v>0.000002</x:v>
      </x:c>
      <x:c r="H17" s="20" t="n">
        <x:f>G17</x:f>
        <x:v>0.000002</x:v>
      </x:c>
      <x:c r="I17" s="10" t="str">
        <x:f>IF(D17="EXACT",IF(F17=0,"PASS","FAIL"),IF(E17&lt;=H17,"PASS","FAIL"))</x:f>
        <x:v>PASS</x:v>
      </x:c>
      <x:c r="J17" s="20" t="n">
        <x:f>IF(D17="EXACT",0,G17*10)</x:f>
        <x:v>0.000019999999999999998</x:v>
      </x:c>
      <x:c r="K17" s="10" t="str">
        <x:f>IF(D17="EXACT",I17,IF(E17&lt;=J17,"PASS","FAIL"))</x:f>
        <x:v>PASS</x:v>
      </x:c>
      <x:c r="L17" s="20" t="n">
        <x:f>IF(D17="EXACT",0,G17*100)</x:f>
        <x:v>0.00019999999999999998</x:v>
      </x:c>
      <x:c r="M17" s="10" t="str">
        <x:f>IF(D17="EXACT",I17,IF(E17&lt;=L17,"PASS","FAIL"))</x:f>
        <x:v>PASS</x:v>
      </x:c>
      <x:c r="N17" s="10" t="str">
        <x:v>utils/workbook_Conv1D_Tiny/esp32/replay/model_io_comparison_Conv1D_Tiny_esp32_replay.xlsx</x:v>
      </x:c>
      <x:c r="O17" s="10" t="str">
        <x:v>PASS when observed maximum is less than or equal to the scaled threshold.</x:v>
      </x:c>
    </x:row>
    <x:row r="18">
      <x:c r="A18" s="10" t="str">
        <x:v>Conv1D Tiny</x:v>
      </x:c>
      <x:c r="B18" s="10" t="str">
        <x:v>WEMOS LOLIN32</x:v>
      </x:c>
      <x:c r="C18" s="10" t="str">
        <x:v>final_postprocessed_prediction</x:v>
      </x:c>
      <x:c r="D18" s="10" t="str">
        <x:v>NUMERIC</x:v>
      </x:c>
      <x:c r="E18" s="20" t="n">
        <x:v>0.00000763000001313685</x:v>
      </x:c>
      <x:c r="F18" s="10" t="n">
        <x:v>0</x:v>
      </x:c>
      <x:c r="G18" s="20" t="n">
        <x:v>0.00002</x:v>
      </x:c>
      <x:c r="H18" s="20" t="n">
        <x:f>G18</x:f>
        <x:v>0.00002</x:v>
      </x:c>
      <x:c r="I18" s="10" t="str">
        <x:f>IF(D18="EXACT",IF(F18=0,"PASS","FAIL"),IF(E18&lt;=H18,"PASS","FAIL"))</x:f>
        <x:v>PASS</x:v>
      </x:c>
      <x:c r="J18" s="20" t="n">
        <x:f>IF(D18="EXACT",0,G18*10)</x:f>
        <x:v>0.0002</x:v>
      </x:c>
      <x:c r="K18" s="10" t="str">
        <x:f>IF(D18="EXACT",I18,IF(E18&lt;=J18,"PASS","FAIL"))</x:f>
        <x:v>PASS</x:v>
      </x:c>
      <x:c r="L18" s="20" t="n">
        <x:f>IF(D18="EXACT",0,G18*100)</x:f>
        <x:v>0.002</x:v>
      </x:c>
      <x:c r="M18" s="10" t="str">
        <x:f>IF(D18="EXACT",I18,IF(E18&lt;=L18,"PASS","FAIL"))</x:f>
        <x:v>PASS</x:v>
      </x:c>
      <x:c r="N18" s="10" t="str">
        <x:v>utils/workbook_Conv1D_Tiny/esp32/replay/model_io_comparison_Conv1D_Tiny_esp32_replay.xlsx</x:v>
      </x:c>
      <x:c r="O18" s="10" t="str">
        <x:v>PASS when observed maximum is less than or equal to the scaled threshold.</x:v>
      </x:c>
    </x:row>
    <x:row r="19">
      <x:c r="A19" s="10" t="str">
        <x:v>Conv1D Tiny</x:v>
      </x:c>
      <x:c r="B19" s="10" t="str">
        <x:v>WEMOS LOLIN32</x:v>
      </x:c>
      <x:c r="C19" s="10" t="str">
        <x:v>auxiliary_semantic_debug</x:v>
      </x:c>
      <x:c r="D19" s="10" t="str">
        <x:v>NUMERIC</x:v>
      </x:c>
      <x:c r="E19" s="20" t="n">
        <x:v>0.00000763000001313685</x:v>
      </x:c>
      <x:c r="F19" s="10" t="n">
        <x:v>0</x:v>
      </x:c>
      <x:c r="G19" s="20" t="n">
        <x:v>0.00002</x:v>
      </x:c>
      <x:c r="H19" s="20" t="n">
        <x:f>G19</x:f>
        <x:v>0.00002</x:v>
      </x:c>
      <x:c r="I19" s="10" t="str">
        <x:f>IF(D19="EXACT",IF(F19=0,"PASS","FAIL"),IF(E19&lt;=H19,"PASS","FAIL"))</x:f>
        <x:v>PASS</x:v>
      </x:c>
      <x:c r="J19" s="20" t="n">
        <x:f>IF(D19="EXACT",0,G19*10)</x:f>
        <x:v>0.0002</x:v>
      </x:c>
      <x:c r="K19" s="10" t="str">
        <x:f>IF(D19="EXACT",I19,IF(E19&lt;=J19,"PASS","FAIL"))</x:f>
        <x:v>PASS</x:v>
      </x:c>
      <x:c r="L19" s="20" t="n">
        <x:f>IF(D19="EXACT",0,G19*100)</x:f>
        <x:v>0.002</x:v>
      </x:c>
      <x:c r="M19" s="10" t="str">
        <x:f>IF(D19="EXACT",I19,IF(E19&lt;=L19,"PASS","FAIL"))</x:f>
        <x:v>PASS</x:v>
      </x:c>
      <x:c r="N19" s="10" t="str">
        <x:v>utils/workbook_Conv1D_Tiny/esp32/replay/model_io_comparison_Conv1D_Tiny_esp32_replay.xlsx</x:v>
      </x:c>
      <x:c r="O19" s="10" t="str">
        <x:v>PASS when observed maximum is less than or equal to the scaled threshold.</x:v>
      </x:c>
    </x:row>
    <x:row r="20">
      <x:c r="A20" s="10" t="str">
        <x:v>Conv1D Tiny</x:v>
      </x:c>
      <x:c r="B20" s="10" t="str">
        <x:v>NUCLEO-F411RE</x:v>
      </x:c>
      <x:c r="C20" s="10" t="str">
        <x:v>raw_tensor_bytes_and_metadata</x:v>
      </x:c>
      <x:c r="D20" s="10" t="str">
        <x:v>EXACT</x:v>
      </x:c>
      <x:c r="E20" s="20" t="str">
        <x:v>N/A</x:v>
      </x:c>
      <x:c r="F20" s="10" t="n">
        <x:v>0</x:v>
      </x:c>
      <x:c r="G20" s="20" t="n">
        <x:v>0</x:v>
      </x:c>
      <x:c r="H20" s="20" t="n">
        <x:f>G20</x:f>
        <x:v>0</x:v>
      </x:c>
      <x:c r="I20" s="10" t="str">
        <x:f>IF(D20="EXACT",IF(F20=0,"PASS","FAIL"),IF(E20&lt;=H20,"PASS","FAIL"))</x:f>
        <x:v>PASS</x:v>
      </x:c>
      <x:c r="J20" s="20" t="n">
        <x:f>IF(D20="EXACT",0,G20*10)</x:f>
        <x:v>0</x:v>
      </x:c>
      <x:c r="K20" s="10" t="str">
        <x:f>IF(D20="EXACT",I20,IF(E20&lt;=J20,"PASS","FAIL"))</x:f>
        <x:v>PASS</x:v>
      </x:c>
      <x:c r="L20" s="20" t="n">
        <x:f>IF(D20="EXACT",0,G20*100)</x:f>
        <x:v>0</x:v>
      </x:c>
      <x:c r="M20" s="10" t="str">
        <x:f>IF(D20="EXACT",I20,IF(E20&lt;=L20,"PASS","FAIL"))</x:f>
        <x:v>PASS</x:v>
      </x:c>
      <x:c r="N20" s="10" t="str">
        <x:v>utils/workbook_Conv1D_Tiny/stm32f411re/replay/model_io_comparison_Conv1D_Tiny_stm32f411re_replay.xlsx</x:v>
      </x:c>
      <x:c r="O20" s="10" t="str">
        <x:v>No exact byte/metadata mismatches were observed; the exact-match result remains PASS at all factors.</x:v>
      </x:c>
    </x:row>
    <x:row r="21">
      <x:c r="A21" s="10" t="str">
        <x:v>Conv1D Tiny</x:v>
      </x:c>
      <x:c r="B21" s="10" t="str">
        <x:v>NUCLEO-F411RE</x:v>
      </x:c>
      <x:c r="C21" s="10" t="str">
        <x:v>model_input_numeric</x:v>
      </x:c>
      <x:c r="D21" s="10" t="str">
        <x:v>NUMERIC</x:v>
      </x:c>
      <x:c r="E21" s="20" t="n">
        <x:v>0</x:v>
      </x:c>
      <x:c r="F21" s="10" t="n">
        <x:v>0</x:v>
      </x:c>
      <x:c r="G21" s="20" t="n">
        <x:v>0.000002</x:v>
      </x:c>
      <x:c r="H21" s="20" t="n">
        <x:f>G21</x:f>
        <x:v>0.000002</x:v>
      </x:c>
      <x:c r="I21" s="10" t="str">
        <x:f>IF(D21="EXACT",IF(F21=0,"PASS","FAIL"),IF(E21&lt;=H21,"PASS","FAIL"))</x:f>
        <x:v>PASS</x:v>
      </x:c>
      <x:c r="J21" s="20" t="n">
        <x:f>IF(D21="EXACT",0,G21*10)</x:f>
        <x:v>0.000019999999999999998</x:v>
      </x:c>
      <x:c r="K21" s="10" t="str">
        <x:f>IF(D21="EXACT",I21,IF(E21&lt;=J21,"PASS","FAIL"))</x:f>
        <x:v>PASS</x:v>
      </x:c>
      <x:c r="L21" s="20" t="n">
        <x:f>IF(D21="EXACT",0,G21*100)</x:f>
        <x:v>0.00019999999999999998</x:v>
      </x:c>
      <x:c r="M21" s="10" t="str">
        <x:f>IF(D21="EXACT",I21,IF(E21&lt;=L21,"PASS","FAIL"))</x:f>
        <x:v>PASS</x:v>
      </x:c>
      <x:c r="N21" s="10" t="str">
        <x:v>utils/workbook_Conv1D_Tiny/stm32f411re/replay/model_io_comparison_Conv1D_Tiny_stm32f411re_replay.xlsx</x:v>
      </x:c>
      <x:c r="O21" s="10" t="str">
        <x:v>PASS when observed maximum is less than or equal to the scaled threshold.</x:v>
      </x:c>
    </x:row>
    <x:row r="22">
      <x:c r="A22" s="10" t="str">
        <x:v>Conv1D Tiny</x:v>
      </x:c>
      <x:c r="B22" s="10" t="str">
        <x:v>NUCLEO-F411RE</x:v>
      </x:c>
      <x:c r="C22" s="10" t="str">
        <x:v>decoded_raw_output</x:v>
      </x:c>
      <x:c r="D22" s="10" t="str">
        <x:v>NUMERIC</x:v>
      </x:c>
      <x:c r="E22" s="20" t="n">
        <x:v>0</x:v>
      </x:c>
      <x:c r="F22" s="10" t="n">
        <x:v>0</x:v>
      </x:c>
      <x:c r="G22" s="20" t="n">
        <x:v>0.000002</x:v>
      </x:c>
      <x:c r="H22" s="20" t="n">
        <x:f>G22</x:f>
        <x:v>0.000002</x:v>
      </x:c>
      <x:c r="I22" s="10" t="str">
        <x:f>IF(D22="EXACT",IF(F22=0,"PASS","FAIL"),IF(E22&lt;=H22,"PASS","FAIL"))</x:f>
        <x:v>PASS</x:v>
      </x:c>
      <x:c r="J22" s="20" t="n">
        <x:f>IF(D22="EXACT",0,G22*10)</x:f>
        <x:v>0.000019999999999999998</x:v>
      </x:c>
      <x:c r="K22" s="10" t="str">
        <x:f>IF(D22="EXACT",I22,IF(E22&lt;=J22,"PASS","FAIL"))</x:f>
        <x:v>PASS</x:v>
      </x:c>
      <x:c r="L22" s="20" t="n">
        <x:f>IF(D22="EXACT",0,G22*100)</x:f>
        <x:v>0.00019999999999999998</x:v>
      </x:c>
      <x:c r="M22" s="10" t="str">
        <x:f>IF(D22="EXACT",I22,IF(E22&lt;=L22,"PASS","FAIL"))</x:f>
        <x:v>PASS</x:v>
      </x:c>
      <x:c r="N22" s="10" t="str">
        <x:v>utils/workbook_Conv1D_Tiny/stm32f411re/replay/model_io_comparison_Conv1D_Tiny_stm32f411re_replay.xlsx</x:v>
      </x:c>
      <x:c r="O22" s="10" t="str">
        <x:v>PASS when observed maximum is less than or equal to the scaled threshold.</x:v>
      </x:c>
    </x:row>
    <x:row r="23">
      <x:c r="A23" s="10" t="str">
        <x:v>Conv1D Tiny</x:v>
      </x:c>
      <x:c r="B23" s="10" t="str">
        <x:v>NUCLEO-F411RE</x:v>
      </x:c>
      <x:c r="C23" s="10" t="str">
        <x:v>semantic_output</x:v>
      </x:c>
      <x:c r="D23" s="10" t="str">
        <x:v>NUMERIC</x:v>
      </x:c>
      <x:c r="E23" s="20" t="n">
        <x:v>0</x:v>
      </x:c>
      <x:c r="F23" s="10" t="n">
        <x:v>0</x:v>
      </x:c>
      <x:c r="G23" s="20" t="n">
        <x:v>0.000002</x:v>
      </x:c>
      <x:c r="H23" s="20" t="n">
        <x:f>G23</x:f>
        <x:v>0.000002</x:v>
      </x:c>
      <x:c r="I23" s="10" t="str">
        <x:f>IF(D23="EXACT",IF(F23=0,"PASS","FAIL"),IF(E23&lt;=H23,"PASS","FAIL"))</x:f>
        <x:v>PASS</x:v>
      </x:c>
      <x:c r="J23" s="20" t="n">
        <x:f>IF(D23="EXACT",0,G23*10)</x:f>
        <x:v>0.000019999999999999998</x:v>
      </x:c>
      <x:c r="K23" s="10" t="str">
        <x:f>IF(D23="EXACT",I23,IF(E23&lt;=J23,"PASS","FAIL"))</x:f>
        <x:v>PASS</x:v>
      </x:c>
      <x:c r="L23" s="20" t="n">
        <x:f>IF(D23="EXACT",0,G23*100)</x:f>
        <x:v>0.00019999999999999998</x:v>
      </x:c>
      <x:c r="M23" s="10" t="str">
        <x:f>IF(D23="EXACT",I23,IF(E23&lt;=L23,"PASS","FAIL"))</x:f>
        <x:v>PASS</x:v>
      </x:c>
      <x:c r="N23" s="10" t="str">
        <x:v>utils/workbook_Conv1D_Tiny/stm32f411re/replay/model_io_comparison_Conv1D_Tiny_stm32f411re_replay.xlsx</x:v>
      </x:c>
      <x:c r="O23" s="10" t="str">
        <x:v>PASS when observed maximum is less than or equal to the scaled threshold.</x:v>
      </x:c>
    </x:row>
    <x:row r="24">
      <x:c r="A24" s="10" t="str">
        <x:v>Conv1D Tiny</x:v>
      </x:c>
      <x:c r="B24" s="10" t="str">
        <x:v>NUCLEO-F411RE</x:v>
      </x:c>
      <x:c r="C24" s="10" t="str">
        <x:v>final_postprocessed_prediction</x:v>
      </x:c>
      <x:c r="D24" s="10" t="str">
        <x:v>NUMERIC</x:v>
      </x:c>
      <x:c r="E24" s="20" t="n">
        <x:v>0.00000763000001313685</x:v>
      </x:c>
      <x:c r="F24" s="10" t="n">
        <x:v>0</x:v>
      </x:c>
      <x:c r="G24" s="20" t="n">
        <x:v>0.00002</x:v>
      </x:c>
      <x:c r="H24" s="20" t="n">
        <x:f>G24</x:f>
        <x:v>0.00002</x:v>
      </x:c>
      <x:c r="I24" s="10" t="str">
        <x:f>IF(D24="EXACT",IF(F24=0,"PASS","FAIL"),IF(E24&lt;=H24,"PASS","FAIL"))</x:f>
        <x:v>PASS</x:v>
      </x:c>
      <x:c r="J24" s="20" t="n">
        <x:f>IF(D24="EXACT",0,G24*10)</x:f>
        <x:v>0.0002</x:v>
      </x:c>
      <x:c r="K24" s="10" t="str">
        <x:f>IF(D24="EXACT",I24,IF(E24&lt;=J24,"PASS","FAIL"))</x:f>
        <x:v>PASS</x:v>
      </x:c>
      <x:c r="L24" s="20" t="n">
        <x:f>IF(D24="EXACT",0,G24*100)</x:f>
        <x:v>0.002</x:v>
      </x:c>
      <x:c r="M24" s="10" t="str">
        <x:f>IF(D24="EXACT",I24,IF(E24&lt;=L24,"PASS","FAIL"))</x:f>
        <x:v>PASS</x:v>
      </x:c>
      <x:c r="N24" s="10" t="str">
        <x:v>utils/workbook_Conv1D_Tiny/stm32f411re/replay/model_io_comparison_Conv1D_Tiny_stm32f411re_replay.xlsx</x:v>
      </x:c>
      <x:c r="O24" s="10" t="str">
        <x:v>PASS when observed maximum is less than or equal to the scaled threshold.</x:v>
      </x:c>
    </x:row>
    <x:row r="25">
      <x:c r="A25" s="10" t="str">
        <x:v>Conv1D Tiny</x:v>
      </x:c>
      <x:c r="B25" s="10" t="str">
        <x:v>NUCLEO-F411RE</x:v>
      </x:c>
      <x:c r="C25" s="10" t="str">
        <x:v>auxiliary_semantic_debug</x:v>
      </x:c>
      <x:c r="D25" s="10" t="str">
        <x:v>NUMERIC</x:v>
      </x:c>
      <x:c r="E25" s="20" t="n">
        <x:v>0.00000763000001313685</x:v>
      </x:c>
      <x:c r="F25" s="10" t="n">
        <x:v>0</x:v>
      </x:c>
      <x:c r="G25" s="20" t="n">
        <x:v>0.00002</x:v>
      </x:c>
      <x:c r="H25" s="20" t="n">
        <x:f>G25</x:f>
        <x:v>0.00002</x:v>
      </x:c>
      <x:c r="I25" s="10" t="str">
        <x:f>IF(D25="EXACT",IF(F25=0,"PASS","FAIL"),IF(E25&lt;=H25,"PASS","FAIL"))</x:f>
        <x:v>PASS</x:v>
      </x:c>
      <x:c r="J25" s="20" t="n">
        <x:f>IF(D25="EXACT",0,G25*10)</x:f>
        <x:v>0.0002</x:v>
      </x:c>
      <x:c r="K25" s="10" t="str">
        <x:f>IF(D25="EXACT",I25,IF(E25&lt;=J25,"PASS","FAIL"))</x:f>
        <x:v>PASS</x:v>
      </x:c>
      <x:c r="L25" s="20" t="n">
        <x:f>IF(D25="EXACT",0,G25*100)</x:f>
        <x:v>0.002</x:v>
      </x:c>
      <x:c r="M25" s="10" t="str">
        <x:f>IF(D25="EXACT",I25,IF(E25&lt;=L25,"PASS","FAIL"))</x:f>
        <x:v>PASS</x:v>
      </x:c>
      <x:c r="N25" s="10" t="str">
        <x:v>utils/workbook_Conv1D_Tiny/stm32f411re/replay/model_io_comparison_Conv1D_Tiny_stm32f411re_replay.xlsx</x:v>
      </x:c>
      <x:c r="O25" s="10" t="str">
        <x:v>PASS when observed maximum is less than or equal to the scaled threshold.</x:v>
      </x:c>
    </x:row>
    <x:row r="26">
      <x:c r="A26" s="10" t="str">
        <x:v>LSTM</x:v>
      </x:c>
      <x:c r="B26" s="10" t="str">
        <x:v>WEMOS LOLIN32</x:v>
      </x:c>
      <x:c r="C26" s="10" t="str">
        <x:v>raw_tensor_bytes_and_metadata</x:v>
      </x:c>
      <x:c r="D26" s="10" t="str">
        <x:v>EXACT</x:v>
      </x:c>
      <x:c r="E26" s="20" t="str">
        <x:v>N/A</x:v>
      </x:c>
      <x:c r="F26" s="10" t="n">
        <x:v>3</x:v>
      </x:c>
      <x:c r="G26" s="20" t="n">
        <x:v>0</x:v>
      </x:c>
      <x:c r="H26" s="20" t="n">
        <x:f>G26</x:f>
        <x:v>0</x:v>
      </x:c>
      <x:c r="I26" s="10" t="str">
        <x:f>IF(D26="EXACT",IF(F26=0,"PASS","FAIL"),IF(E26&lt;=H26,"PASS","FAIL"))</x:f>
        <x:v>FAIL</x:v>
      </x:c>
      <x:c r="J26" s="20" t="n">
        <x:f>IF(D26="EXACT",0,G26*10)</x:f>
        <x:v>0</x:v>
      </x:c>
      <x:c r="K26" s="10" t="str">
        <x:f>IF(D26="EXACT",I26,IF(E26&lt;=J26,"PASS","FAIL"))</x:f>
        <x:v>FAIL</x:v>
      </x:c>
      <x:c r="L26" s="20" t="n">
        <x:f>IF(D26="EXACT",0,G26*100)</x:f>
        <x:v>0</x:v>
      </x:c>
      <x:c r="M26" s="10" t="str">
        <x:f>IF(D26="EXACT",I26,IF(E26&lt;=L26,"PASS","FAIL"))</x:f>
        <x:v>FAIL</x:v>
      </x:c>
      <x:c r="N26" s="10" t="str">
        <x:v>utils/workbook_lstm/esp32/replay/model_io_comparison_lstm_esp32_replay.xlsx</x:v>
      </x:c>
      <x:c r="O26" s="10" t="str">
        <x:v>The exact byte/metadata comparison is not relaxed; 3 mismatched events therefore remain FAIL at all factors.</x:v>
      </x:c>
    </x:row>
    <x:row r="27">
      <x:c r="A27" s="10" t="str">
        <x:v>LSTM</x:v>
      </x:c>
      <x:c r="B27" s="10" t="str">
        <x:v>WEMOS LOLIN32</x:v>
      </x:c>
      <x:c r="C27" s="10" t="str">
        <x:v>model_input_numeric</x:v>
      </x:c>
      <x:c r="D27" s="10" t="str">
        <x:v>NUMERIC</x:v>
      </x:c>
      <x:c r="E27" s="20" t="n">
        <x:v>0.000001550000000016816</x:v>
      </x:c>
      <x:c r="F27" s="10" t="n">
        <x:v>0</x:v>
      </x:c>
      <x:c r="G27" s="20" t="n">
        <x:v>0.000002</x:v>
      </x:c>
      <x:c r="H27" s="20" t="n">
        <x:f>G27</x:f>
        <x:v>0.000002</x:v>
      </x:c>
      <x:c r="I27" s="10" t="str">
        <x:f>IF(D27="EXACT",IF(F27=0,"PASS","FAIL"),IF(E27&lt;=H27,"PASS","FAIL"))</x:f>
        <x:v>PASS</x:v>
      </x:c>
      <x:c r="J27" s="20" t="n">
        <x:f>IF(D27="EXACT",0,G27*10)</x:f>
        <x:v>0.000019999999999999998</x:v>
      </x:c>
      <x:c r="K27" s="10" t="str">
        <x:f>IF(D27="EXACT",I27,IF(E27&lt;=J27,"PASS","FAIL"))</x:f>
        <x:v>PASS</x:v>
      </x:c>
      <x:c r="L27" s="20" t="n">
        <x:f>IF(D27="EXACT",0,G27*100)</x:f>
        <x:v>0.00019999999999999998</x:v>
      </x:c>
      <x:c r="M27" s="10" t="str">
        <x:f>IF(D27="EXACT",I27,IF(E27&lt;=L27,"PASS","FAIL"))</x:f>
        <x:v>PASS</x:v>
      </x:c>
      <x:c r="N27" s="10" t="str">
        <x:v>utils/workbook_lstm/esp32/replay/model_io_comparison_lstm_esp32_replay.xlsx</x:v>
      </x:c>
      <x:c r="O27" s="10" t="str">
        <x:v>PASS when observed maximum is less than or equal to the scaled threshold.</x:v>
      </x:c>
    </x:row>
    <x:row r="28">
      <x:c r="A28" s="10" t="str">
        <x:v>LSTM</x:v>
      </x:c>
      <x:c r="B28" s="10" t="str">
        <x:v>WEMOS LOLIN32</x:v>
      </x:c>
      <x:c r="C28" s="10" t="str">
        <x:v>decoded_raw_output</x:v>
      </x:c>
      <x:c r="D28" s="10" t="str">
        <x:v>NUMERIC</x:v>
      </x:c>
      <x:c r="E28" s="20" t="n">
        <x:v>0.01127040000000001</x:v>
      </x:c>
      <x:c r="F28" s="10" t="n">
        <x:v>3</x:v>
      </x:c>
      <x:c r="G28" s="20" t="n">
        <x:v>0.000002</x:v>
      </x:c>
      <x:c r="H28" s="20" t="n">
        <x:f>G28</x:f>
        <x:v>0.000002</x:v>
      </x:c>
      <x:c r="I28" s="10" t="str">
        <x:f>IF(D28="EXACT",IF(F28=0,"PASS","FAIL"),IF(E28&lt;=H28,"PASS","FAIL"))</x:f>
        <x:v>FAIL</x:v>
      </x:c>
      <x:c r="J28" s="20" t="n">
        <x:f>IF(D28="EXACT",0,G28*10)</x:f>
        <x:v>0.000019999999999999998</x:v>
      </x:c>
      <x:c r="K28" s="10" t="str">
        <x:f>IF(D28="EXACT",I28,IF(E28&lt;=J28,"PASS","FAIL"))</x:f>
        <x:v>FAIL</x:v>
      </x:c>
      <x:c r="L28" s="20" t="n">
        <x:f>IF(D28="EXACT",0,G28*100)</x:f>
        <x:v>0.00019999999999999998</x:v>
      </x:c>
      <x:c r="M28" s="10" t="str">
        <x:f>IF(D28="EXACT",I28,IF(E28&lt;=L28,"PASS","FAIL"))</x:f>
        <x:v>FAIL</x:v>
      </x:c>
      <x:c r="N28" s="10" t="str">
        <x:v>utils/workbook_lstm/esp32/replay/model_io_comparison_lstm_esp32_replay.xlsx</x:v>
      </x:c>
      <x:c r="O28" s="10" t="str">
        <x:v>PASS when observed maximum is less than or equal to the scaled threshold.</x:v>
      </x:c>
    </x:row>
    <x:row r="29">
      <x:c r="A29" s="10" t="str">
        <x:v>LSTM</x:v>
      </x:c>
      <x:c r="B29" s="10" t="str">
        <x:v>WEMOS LOLIN32</x:v>
      </x:c>
      <x:c r="C29" s="10" t="str">
        <x:v>semantic_output</x:v>
      </x:c>
      <x:c r="D29" s="10" t="str">
        <x:v>NUMERIC</x:v>
      </x:c>
      <x:c r="E29" s="20" t="n">
        <x:v>0.01127040000000001</x:v>
      </x:c>
      <x:c r="F29" s="10" t="n">
        <x:v>3</x:v>
      </x:c>
      <x:c r="G29" s="20" t="n">
        <x:v>0.000002</x:v>
      </x:c>
      <x:c r="H29" s="20" t="n">
        <x:f>G29</x:f>
        <x:v>0.000002</x:v>
      </x:c>
      <x:c r="I29" s="10" t="str">
        <x:f>IF(D29="EXACT",IF(F29=0,"PASS","FAIL"),IF(E29&lt;=H29,"PASS","FAIL"))</x:f>
        <x:v>FAIL</x:v>
      </x:c>
      <x:c r="J29" s="20" t="n">
        <x:f>IF(D29="EXACT",0,G29*10)</x:f>
        <x:v>0.000019999999999999998</x:v>
      </x:c>
      <x:c r="K29" s="10" t="str">
        <x:f>IF(D29="EXACT",I29,IF(E29&lt;=J29,"PASS","FAIL"))</x:f>
        <x:v>FAIL</x:v>
      </x:c>
      <x:c r="L29" s="20" t="n">
        <x:f>IF(D29="EXACT",0,G29*100)</x:f>
        <x:v>0.00019999999999999998</x:v>
      </x:c>
      <x:c r="M29" s="10" t="str">
        <x:f>IF(D29="EXACT",I29,IF(E29&lt;=L29,"PASS","FAIL"))</x:f>
        <x:v>FAIL</x:v>
      </x:c>
      <x:c r="N29" s="10" t="str">
        <x:v>utils/workbook_lstm/esp32/replay/model_io_comparison_lstm_esp32_replay.xlsx</x:v>
      </x:c>
      <x:c r="O29" s="10" t="str">
        <x:v>PASS when observed maximum is less than or equal to the scaled threshold.</x:v>
      </x:c>
    </x:row>
    <x:row r="30">
      <x:c r="A30" s="10" t="str">
        <x:v>LSTM</x:v>
      </x:c>
      <x:c r="B30" s="10" t="str">
        <x:v>WEMOS LOLIN32</x:v>
      </x:c>
      <x:c r="C30" s="10" t="str">
        <x:v>final_postprocessed_prediction</x:v>
      </x:c>
      <x:c r="D30" s="10" t="str">
        <x:v>NUMERIC</x:v>
      </x:c>
      <x:c r="E30" s="20" t="n">
        <x:v>0.02276627</x:v>
      </x:c>
      <x:c r="F30" s="10" t="n">
        <x:v>3</x:v>
      </x:c>
      <x:c r="G30" s="20" t="n">
        <x:v>0.00002</x:v>
      </x:c>
      <x:c r="H30" s="20" t="n">
        <x:f>G30</x:f>
        <x:v>0.00002</x:v>
      </x:c>
      <x:c r="I30" s="10" t="str">
        <x:f>IF(D30="EXACT",IF(F30=0,"PASS","FAIL"),IF(E30&lt;=H30,"PASS","FAIL"))</x:f>
        <x:v>FAIL</x:v>
      </x:c>
      <x:c r="J30" s="20" t="n">
        <x:f>IF(D30="EXACT",0,G30*10)</x:f>
        <x:v>0.0002</x:v>
      </x:c>
      <x:c r="K30" s="10" t="str">
        <x:f>IF(D30="EXACT",I30,IF(E30&lt;=J30,"PASS","FAIL"))</x:f>
        <x:v>FAIL</x:v>
      </x:c>
      <x:c r="L30" s="20" t="n">
        <x:f>IF(D30="EXACT",0,G30*100)</x:f>
        <x:v>0.002</x:v>
      </x:c>
      <x:c r="M30" s="10" t="str">
        <x:f>IF(D30="EXACT",I30,IF(E30&lt;=L30,"PASS","FAIL"))</x:f>
        <x:v>FAIL</x:v>
      </x:c>
      <x:c r="N30" s="10" t="str">
        <x:v>utils/workbook_lstm/esp32/replay/model_io_comparison_lstm_esp32_replay.xlsx</x:v>
      </x:c>
      <x:c r="O30" s="10" t="str">
        <x:v>PASS when observed maximum is less than or equal to the scaled threshold.</x:v>
      </x:c>
    </x:row>
    <x:row r="31">
      <x:c r="A31" s="10" t="str">
        <x:v>LSTM</x:v>
      </x:c>
      <x:c r="B31" s="10" t="str">
        <x:v>WEMOS LOLIN32</x:v>
      </x:c>
      <x:c r="C31" s="10" t="str">
        <x:v>auxiliary_semantic_debug</x:v>
      </x:c>
      <x:c r="D31" s="10" t="str">
        <x:v>NUMERIC</x:v>
      </x:c>
      <x:c r="E31" s="20" t="n">
        <x:v>0.00000763000001313685</x:v>
      </x:c>
      <x:c r="F31" s="10" t="n">
        <x:v>0</x:v>
      </x:c>
      <x:c r="G31" s="20" t="n">
        <x:v>0.00002</x:v>
      </x:c>
      <x:c r="H31" s="20" t="n">
        <x:f>G31</x:f>
        <x:v>0.00002</x:v>
      </x:c>
      <x:c r="I31" s="10" t="str">
        <x:f>IF(D31="EXACT",IF(F31=0,"PASS","FAIL"),IF(E31&lt;=H31,"PASS","FAIL"))</x:f>
        <x:v>PASS</x:v>
      </x:c>
      <x:c r="J31" s="20" t="n">
        <x:f>IF(D31="EXACT",0,G31*10)</x:f>
        <x:v>0.0002</x:v>
      </x:c>
      <x:c r="K31" s="10" t="str">
        <x:f>IF(D31="EXACT",I31,IF(E31&lt;=J31,"PASS","FAIL"))</x:f>
        <x:v>PASS</x:v>
      </x:c>
      <x:c r="L31" s="20" t="n">
        <x:f>IF(D31="EXACT",0,G31*100)</x:f>
        <x:v>0.002</x:v>
      </x:c>
      <x:c r="M31" s="10" t="str">
        <x:f>IF(D31="EXACT",I31,IF(E31&lt;=L31,"PASS","FAIL"))</x:f>
        <x:v>PASS</x:v>
      </x:c>
      <x:c r="N31" s="10" t="str">
        <x:v>utils/workbook_lstm/esp32/replay/model_io_comparison_lstm_esp32_replay.xlsx</x:v>
      </x:c>
      <x:c r="O31" s="10" t="str">
        <x:v>PASS when observed maximum is less than or equal to the scaled threshold.</x:v>
      </x:c>
    </x:row>
    <x:row r="32">
      <x:c r="A32" s="10" t="str">
        <x:v>LSTM</x:v>
      </x:c>
      <x:c r="B32" s="10" t="str">
        <x:v>NUCLEO-F411RE</x:v>
      </x:c>
      <x:c r="C32" s="10" t="str">
        <x:v>raw_tensor_bytes_and_metadata</x:v>
      </x:c>
      <x:c r="D32" s="10" t="str">
        <x:v>EXACT</x:v>
      </x:c>
      <x:c r="E32" s="20" t="str">
        <x:v>N/A</x:v>
      </x:c>
      <x:c r="F32" s="10" t="n">
        <x:v>3</x:v>
      </x:c>
      <x:c r="G32" s="20" t="n">
        <x:v>0</x:v>
      </x:c>
      <x:c r="H32" s="20" t="n">
        <x:f>G32</x:f>
        <x:v>0</x:v>
      </x:c>
      <x:c r="I32" s="10" t="str">
        <x:f>IF(D32="EXACT",IF(F32=0,"PASS","FAIL"),IF(E32&lt;=H32,"PASS","FAIL"))</x:f>
        <x:v>FAIL</x:v>
      </x:c>
      <x:c r="J32" s="20" t="n">
        <x:f>IF(D32="EXACT",0,G32*10)</x:f>
        <x:v>0</x:v>
      </x:c>
      <x:c r="K32" s="10" t="str">
        <x:f>IF(D32="EXACT",I32,IF(E32&lt;=J32,"PASS","FAIL"))</x:f>
        <x:v>FAIL</x:v>
      </x:c>
      <x:c r="L32" s="20" t="n">
        <x:f>IF(D32="EXACT",0,G32*100)</x:f>
        <x:v>0</x:v>
      </x:c>
      <x:c r="M32" s="10" t="str">
        <x:f>IF(D32="EXACT",I32,IF(E32&lt;=L32,"PASS","FAIL"))</x:f>
        <x:v>FAIL</x:v>
      </x:c>
      <x:c r="N32" s="10" t="str">
        <x:v>utils/workbook_lstm/stm32f411re/replay/model_io_comparison_lstm_stm32f411re_replay.xlsx</x:v>
      </x:c>
      <x:c r="O32" s="10" t="str">
        <x:v>The exact byte/metadata comparison is not relaxed; 3 mismatched events therefore remain FAIL at all factors.</x:v>
      </x:c>
    </x:row>
    <x:row r="33">
      <x:c r="A33" s="10" t="str">
        <x:v>LSTM</x:v>
      </x:c>
      <x:c r="B33" s="10" t="str">
        <x:v>NUCLEO-F411RE</x:v>
      </x:c>
      <x:c r="C33" s="10" t="str">
        <x:v>model_input_numeric</x:v>
      </x:c>
      <x:c r="D33" s="10" t="str">
        <x:v>NUMERIC</x:v>
      </x:c>
      <x:c r="E33" s="20" t="n">
        <x:v>0.000001550000000016816</x:v>
      </x:c>
      <x:c r="F33" s="10" t="n">
        <x:v>0</x:v>
      </x:c>
      <x:c r="G33" s="20" t="n">
        <x:v>0.000002</x:v>
      </x:c>
      <x:c r="H33" s="20" t="n">
        <x:f>G33</x:f>
        <x:v>0.000002</x:v>
      </x:c>
      <x:c r="I33" s="10" t="str">
        <x:f>IF(D33="EXACT",IF(F33=0,"PASS","FAIL"),IF(E33&lt;=H33,"PASS","FAIL"))</x:f>
        <x:v>PASS</x:v>
      </x:c>
      <x:c r="J33" s="20" t="n">
        <x:f>IF(D33="EXACT",0,G33*10)</x:f>
        <x:v>0.000019999999999999998</x:v>
      </x:c>
      <x:c r="K33" s="10" t="str">
        <x:f>IF(D33="EXACT",I33,IF(E33&lt;=J33,"PASS","FAIL"))</x:f>
        <x:v>PASS</x:v>
      </x:c>
      <x:c r="L33" s="20" t="n">
        <x:f>IF(D33="EXACT",0,G33*100)</x:f>
        <x:v>0.00019999999999999998</x:v>
      </x:c>
      <x:c r="M33" s="10" t="str">
        <x:f>IF(D33="EXACT",I33,IF(E33&lt;=L33,"PASS","FAIL"))</x:f>
        <x:v>PASS</x:v>
      </x:c>
      <x:c r="N33" s="10" t="str">
        <x:v>utils/workbook_lstm/stm32f411re/replay/model_io_comparison_lstm_stm32f411re_replay.xlsx</x:v>
      </x:c>
      <x:c r="O33" s="10" t="str">
        <x:v>PASS when observed maximum is less than or equal to the scaled threshold.</x:v>
      </x:c>
    </x:row>
    <x:row r="34">
      <x:c r="A34" s="10" t="str">
        <x:v>LSTM</x:v>
      </x:c>
      <x:c r="B34" s="10" t="str">
        <x:v>NUCLEO-F411RE</x:v>
      </x:c>
      <x:c r="C34" s="10" t="str">
        <x:v>decoded_raw_output</x:v>
      </x:c>
      <x:c r="D34" s="10" t="str">
        <x:v>NUMERIC</x:v>
      </x:c>
      <x:c r="E34" s="20" t="n">
        <x:v>0.01127040000000001</x:v>
      </x:c>
      <x:c r="F34" s="10" t="n">
        <x:v>3</x:v>
      </x:c>
      <x:c r="G34" s="20" t="n">
        <x:v>0.000002</x:v>
      </x:c>
      <x:c r="H34" s="20" t="n">
        <x:f>G34</x:f>
        <x:v>0.000002</x:v>
      </x:c>
      <x:c r="I34" s="10" t="str">
        <x:f>IF(D34="EXACT",IF(F34=0,"PASS","FAIL"),IF(E34&lt;=H34,"PASS","FAIL"))</x:f>
        <x:v>FAIL</x:v>
      </x:c>
      <x:c r="J34" s="20" t="n">
        <x:f>IF(D34="EXACT",0,G34*10)</x:f>
        <x:v>0.000019999999999999998</x:v>
      </x:c>
      <x:c r="K34" s="10" t="str">
        <x:f>IF(D34="EXACT",I34,IF(E34&lt;=J34,"PASS","FAIL"))</x:f>
        <x:v>FAIL</x:v>
      </x:c>
      <x:c r="L34" s="20" t="n">
        <x:f>IF(D34="EXACT",0,G34*100)</x:f>
        <x:v>0.00019999999999999998</x:v>
      </x:c>
      <x:c r="M34" s="10" t="str">
        <x:f>IF(D34="EXACT",I34,IF(E34&lt;=L34,"PASS","FAIL"))</x:f>
        <x:v>FAIL</x:v>
      </x:c>
      <x:c r="N34" s="10" t="str">
        <x:v>utils/workbook_lstm/stm32f411re/replay/model_io_comparison_lstm_stm32f411re_replay.xlsx</x:v>
      </x:c>
      <x:c r="O34" s="10" t="str">
        <x:v>PASS when observed maximum is less than or equal to the scaled threshold.</x:v>
      </x:c>
    </x:row>
    <x:row r="35">
      <x:c r="A35" s="10" t="str">
        <x:v>LSTM</x:v>
      </x:c>
      <x:c r="B35" s="10" t="str">
        <x:v>NUCLEO-F411RE</x:v>
      </x:c>
      <x:c r="C35" s="10" t="str">
        <x:v>semantic_output</x:v>
      </x:c>
      <x:c r="D35" s="10" t="str">
        <x:v>NUMERIC</x:v>
      </x:c>
      <x:c r="E35" s="20" t="n">
        <x:v>0.01127040000000001</x:v>
      </x:c>
      <x:c r="F35" s="10" t="n">
        <x:v>3</x:v>
      </x:c>
      <x:c r="G35" s="20" t="n">
        <x:v>0.000002</x:v>
      </x:c>
      <x:c r="H35" s="20" t="n">
        <x:f>G35</x:f>
        <x:v>0.000002</x:v>
      </x:c>
      <x:c r="I35" s="10" t="str">
        <x:f>IF(D35="EXACT",IF(F35=0,"PASS","FAIL"),IF(E35&lt;=H35,"PASS","FAIL"))</x:f>
        <x:v>FAIL</x:v>
      </x:c>
      <x:c r="J35" s="20" t="n">
        <x:f>IF(D35="EXACT",0,G35*10)</x:f>
        <x:v>0.000019999999999999998</x:v>
      </x:c>
      <x:c r="K35" s="10" t="str">
        <x:f>IF(D35="EXACT",I35,IF(E35&lt;=J35,"PASS","FAIL"))</x:f>
        <x:v>FAIL</x:v>
      </x:c>
      <x:c r="L35" s="20" t="n">
        <x:f>IF(D35="EXACT",0,G35*100)</x:f>
        <x:v>0.00019999999999999998</x:v>
      </x:c>
      <x:c r="M35" s="10" t="str">
        <x:f>IF(D35="EXACT",I35,IF(E35&lt;=L35,"PASS","FAIL"))</x:f>
        <x:v>FAIL</x:v>
      </x:c>
      <x:c r="N35" s="10" t="str">
        <x:v>utils/workbook_lstm/stm32f411re/replay/model_io_comparison_lstm_stm32f411re_replay.xlsx</x:v>
      </x:c>
      <x:c r="O35" s="10" t="str">
        <x:v>PASS when observed maximum is less than or equal to the scaled threshold.</x:v>
      </x:c>
    </x:row>
    <x:row r="36">
      <x:c r="A36" s="10" t="str">
        <x:v>LSTM</x:v>
      </x:c>
      <x:c r="B36" s="10" t="str">
        <x:v>NUCLEO-F411RE</x:v>
      </x:c>
      <x:c r="C36" s="10" t="str">
        <x:v>final_postprocessed_prediction</x:v>
      </x:c>
      <x:c r="D36" s="10" t="str">
        <x:v>NUMERIC</x:v>
      </x:c>
      <x:c r="E36" s="20" t="n">
        <x:v>0.02276627</x:v>
      </x:c>
      <x:c r="F36" s="10" t="n">
        <x:v>3</x:v>
      </x:c>
      <x:c r="G36" s="20" t="n">
        <x:v>0.00002</x:v>
      </x:c>
      <x:c r="H36" s="20" t="n">
        <x:f>G36</x:f>
        <x:v>0.00002</x:v>
      </x:c>
      <x:c r="I36" s="10" t="str">
        <x:f>IF(D36="EXACT",IF(F36=0,"PASS","FAIL"),IF(E36&lt;=H36,"PASS","FAIL"))</x:f>
        <x:v>FAIL</x:v>
      </x:c>
      <x:c r="J36" s="20" t="n">
        <x:f>IF(D36="EXACT",0,G36*10)</x:f>
        <x:v>0.0002</x:v>
      </x:c>
      <x:c r="K36" s="10" t="str">
        <x:f>IF(D36="EXACT",I36,IF(E36&lt;=J36,"PASS","FAIL"))</x:f>
        <x:v>FAIL</x:v>
      </x:c>
      <x:c r="L36" s="20" t="n">
        <x:f>IF(D36="EXACT",0,G36*100)</x:f>
        <x:v>0.002</x:v>
      </x:c>
      <x:c r="M36" s="10" t="str">
        <x:f>IF(D36="EXACT",I36,IF(E36&lt;=L36,"PASS","FAIL"))</x:f>
        <x:v>FAIL</x:v>
      </x:c>
      <x:c r="N36" s="10" t="str">
        <x:v>utils/workbook_lstm/stm32f411re/replay/model_io_comparison_lstm_stm32f411re_replay.xlsx</x:v>
      </x:c>
      <x:c r="O36" s="10" t="str">
        <x:v>PASS when observed maximum is less than or equal to the scaled threshold.</x:v>
      </x:c>
    </x:row>
    <x:row r="37">
      <x:c r="A37" s="10" t="str">
        <x:v>LSTM</x:v>
      </x:c>
      <x:c r="B37" s="10" t="str">
        <x:v>NUCLEO-F411RE</x:v>
      </x:c>
      <x:c r="C37" s="10" t="str">
        <x:v>auxiliary_semantic_debug</x:v>
      </x:c>
      <x:c r="D37" s="10" t="str">
        <x:v>NUMERIC</x:v>
      </x:c>
      <x:c r="E37" s="20" t="n">
        <x:v>0.00000763000001313685</x:v>
      </x:c>
      <x:c r="F37" s="10" t="n">
        <x:v>0</x:v>
      </x:c>
      <x:c r="G37" s="20" t="n">
        <x:v>0.00002</x:v>
      </x:c>
      <x:c r="H37" s="20" t="n">
        <x:f>G37</x:f>
        <x:v>0.00002</x:v>
      </x:c>
      <x:c r="I37" s="10" t="str">
        <x:f>IF(D37="EXACT",IF(F37=0,"PASS","FAIL"),IF(E37&lt;=H37,"PASS","FAIL"))</x:f>
        <x:v>PASS</x:v>
      </x:c>
      <x:c r="J37" s="20" t="n">
        <x:f>IF(D37="EXACT",0,G37*10)</x:f>
        <x:v>0.0002</x:v>
      </x:c>
      <x:c r="K37" s="10" t="str">
        <x:f>IF(D37="EXACT",I37,IF(E37&lt;=J37,"PASS","FAIL"))</x:f>
        <x:v>PASS</x:v>
      </x:c>
      <x:c r="L37" s="20" t="n">
        <x:f>IF(D37="EXACT",0,G37*100)</x:f>
        <x:v>0.002</x:v>
      </x:c>
      <x:c r="M37" s="10" t="str">
        <x:f>IF(D37="EXACT",I37,IF(E37&lt;=L37,"PASS","FAIL"))</x:f>
        <x:v>PASS</x:v>
      </x:c>
      <x:c r="N37" s="10" t="str">
        <x:v>utils/workbook_lstm/stm32f411re/replay/model_io_comparison_lstm_stm32f411re_replay.xlsx</x:v>
      </x:c>
      <x:c r="O37" s="10" t="str">
        <x:v>PASS when observed maximum is less than or equal to the scaled threshold.</x:v>
      </x:c>
    </x:row>
  </x:sheetData>
  <x:conditionalFormatting sqref="I2:I37">
    <x:cfRule type="expression" dxfId="2" priority="1">
      <x:formula>I2="PASS"</x:formula>
    </x:cfRule>
    <x:cfRule type="expression" dxfId="3" priority="2">
      <x:formula>I2="FAIL"</x:formula>
    </x:cfRule>
  </x:conditionalFormatting>
  <x:conditionalFormatting sqref="K2:K37">
    <x:cfRule type="expression" dxfId="4" priority="3">
      <x:formula>K2="PASS"</x:formula>
    </x:cfRule>
    <x:cfRule type="expression" dxfId="5" priority="4">
      <x:formula>K2="FAIL"</x:formula>
    </x:cfRule>
  </x:conditionalFormatting>
  <x:conditionalFormatting sqref="M2:M37">
    <x:cfRule type="expression" dxfId="6" priority="5">
      <x:formula>M2="PASS"</x:formula>
    </x:cfRule>
    <x:cfRule type="expression" dxfId="7" priority="6">
      <x:formula>M2="FAIL"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" t="str">
        <x:v>Item</x:v>
      </x:c>
      <x:c r="B1" s="3" t="str">
        <x:v>Definition</x:v>
      </x:c>
    </x:row>
    <x:row r="2">
      <x:c r="A2" s="10" t="str">
        <x:v>Purpose</x:v>
      </x:c>
      <x:c r="B2" s="10" t="str">
        <x:v>Test whether the stage-wise conformance classification depends on the adopted numerical thresholds.</x:v>
      </x:c>
    </x:row>
    <x:row r="3">
      <x:c r="A3" s="10" t="str">
        <x:v>Factors</x:v>
      </x:c>
      <x:c r="B3" s="10" t="str">
        <x:v>The adopted numeric tolerance is evaluated at 1x, 10x, and 100x.</x:v>
      </x:c>
    </x:row>
    <x:row r="4">
      <x:c r="A4" s="10" t="str">
        <x:v>Numeric rule</x:v>
      </x:c>
      <x:c r="B4" s="10" t="str">
        <x:v>PASS(f) when observed maximum absolute difference &lt;= f × adopted tolerance.</x:v>
      </x:c>
    </x:row>
    <x:row r="5">
      <x:c r="A5" s="10" t="str">
        <x:v>Exact rule</x:v>
      </x:c>
      <x:c r="B5" s="10" t="str">
        <x:v>Raw tensor bytes and metadata retain zero tolerance; their exact-match result is not relaxed.</x:v>
      </x:c>
    </x:row>
    <x:row r="6">
      <x:c r="A6" s="10" t="str">
        <x:v>Evidence source</x:v>
      </x:c>
      <x:c r="B6" s="10" t="str">
        <x:v>The six frozen model-I/O comparison workbooks packaged under utils/workbook_*/&lt;target&gt;/replay/.</x:v>
      </x:c>
    </x:row>
    <x:row r="7">
      <x:c r="A7" s="10" t="str">
        <x:v>No threshold fitting</x:v>
      </x:c>
      <x:c r="B7" s="10" t="str">
        <x:v>Observed deviations are used only to test sensitivity. They do not replace or recalibrate the adopted thresholds.</x:v>
      </x:c>
    </x:row>
    <x:row r="8">
      <x:c r="A8" s="10" t="str">
        <x:v>Result</x:v>
      </x:c>
      <x:c r="B8" s="10" t="str">
        <x:v>MLP and Conv1D Tiny remain PASS; LSTM remains FAIL on both targets at 1x, 10x, and 100x.</x:v>
      </x:c>
    </x:row>
    <x:row r="9">
      <x:c r="A9" s="10" t="str">
        <x:v>LSTM decoded/semantic output</x:v>
      </x:c>
      <x:c r="B9" s="10" t="str">
        <x:v>Observed max = 1.12704e-2; 100x threshold = 2e-4; observed value is 56.352x above the 100x threshold.</x:v>
      </x:c>
    </x:row>
    <x:row r="10">
      <x:c r="A10" s="10" t="str">
        <x:v>LSTM final prediction</x:v>
      </x:c>
      <x:c r="B10" s="10" t="str">
        <x:v>Observed max = 2.276627e-2; 100x threshold = 2e-3; observed value is 11.383135x above the 100x threshold.</x:v>
      </x:c>
    </x:row>
    <x:row r="11">
      <x:c r="A11" s="10" t="str">
        <x:v>LSTM exact output bytes</x:v>
      </x:c>
      <x:c r="B11" s="10" t="str">
        <x:v>Three of 24 events contain exact byte mismatches; exact comparison remains FAIL at every numeric factor.</x:v>
      </x:c>
    </x:row>
  </x:sheetData>
  <x:pageMargins left="0.7" right="0.7" top="0.75" bottom="0.75" header="0.3" footer="0.3"/>
</x:worksheet>
</file>